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x\SuppXLS\"/>
    </mc:Choice>
  </mc:AlternateContent>
  <xr:revisionPtr revIDLastSave="0" documentId="13_ncr:1_{6713828F-05A0-48CA-9E0B-366A67DC7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G36" i="2" l="1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E33" i="2"/>
  <c r="E29" i="2"/>
  <c r="E30" i="2"/>
  <c r="E31" i="2"/>
  <c r="E32" i="2"/>
  <c r="E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<sst xmlns="http://schemas.openxmlformats.org/spreadsheetml/2006/main" count="88" uniqueCount="25">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</sst>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topLeftCell="A7" zoomScaleNormal="100" workbookViewId="0">
      <selection activeCell="E28" sqref="E28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11.34</v>
      </c>
      <c r="F7" s="5" t="s">
        <v>15</v>
      </c>
      <c r="G7" s="5" t="s">
        <v>16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11.77</v>
      </c>
      <c r="F8" s="7" t="str">
        <f>F7</f>
        <v>MIN_HC</v>
      </c>
      <c r="G8" s="7" t="str">
        <f>G7</f>
        <v>HC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11.77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11.77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11.77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11.77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6.01</v>
      </c>
      <c r="F14" s="5" t="s">
        <v>17</v>
      </c>
      <c r="G14" s="5" t="s">
        <v>18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5.93</v>
      </c>
      <c r="F15" s="7" t="str">
        <f>F14</f>
        <v>MIN_BC</v>
      </c>
      <c r="G15" s="7" t="str">
        <f>G14</f>
        <v>BC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5.86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25">
      <c r="B17" s="7" t="s">
        <v>7</v>
      </c>
      <c r="C17" s="18" t="s">
        <v>8</v>
      </c>
      <c r="D17" s="7">
        <v>2040</v>
      </c>
      <c r="E17" s="8">
        <v>5.77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25">
      <c r="B18" s="5" t="s">
        <v>7</v>
      </c>
      <c r="C18" s="17" t="s">
        <v>8</v>
      </c>
      <c r="D18" s="5">
        <v>2045</v>
      </c>
      <c r="E18" s="6">
        <v>5.68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25">
      <c r="B19" s="7" t="s">
        <v>7</v>
      </c>
      <c r="C19" s="18" t="s">
        <v>8</v>
      </c>
      <c r="D19" s="7">
        <v>2050</v>
      </c>
      <c r="E19" s="8">
        <v>5.6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25">
      <c r="B21" s="5" t="s">
        <v>7</v>
      </c>
      <c r="C21" s="17" t="s">
        <v>8</v>
      </c>
      <c r="D21" s="5">
        <v>2025</v>
      </c>
      <c r="E21" s="6">
        <v>25.03</v>
      </c>
      <c r="F21" s="5" t="s">
        <v>19</v>
      </c>
      <c r="G21" s="5" t="s">
        <v>20</v>
      </c>
    </row>
    <row r="22" spans="2:7" ht="15.75" customHeight="1" x14ac:dyDescent="0.25">
      <c r="B22" s="7" t="s">
        <v>7</v>
      </c>
      <c r="C22" s="18" t="s">
        <v>8</v>
      </c>
      <c r="D22" s="7">
        <v>2030</v>
      </c>
      <c r="E22" s="8">
        <v>27.69</v>
      </c>
      <c r="F22" s="7" t="str">
        <f>F21</f>
        <v>MIN_NAT-GAS</v>
      </c>
      <c r="G22" s="7" t="str">
        <f>G21</f>
        <v>NAT-GAS</v>
      </c>
    </row>
    <row r="23" spans="2:7" ht="15.75" customHeight="1" x14ac:dyDescent="0.25">
      <c r="B23" s="5" t="s">
        <v>7</v>
      </c>
      <c r="C23" s="17" t="s">
        <v>8</v>
      </c>
      <c r="D23" s="5">
        <v>2035</v>
      </c>
      <c r="E23" s="6">
        <v>24.23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25">
      <c r="B24" s="7" t="s">
        <v>7</v>
      </c>
      <c r="C24" s="18" t="s">
        <v>8</v>
      </c>
      <c r="D24" s="7">
        <v>2040</v>
      </c>
      <c r="E24" s="8">
        <v>26.66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25">
      <c r="B25" s="5" t="s">
        <v>7</v>
      </c>
      <c r="C25" s="17" t="s">
        <v>8</v>
      </c>
      <c r="D25" s="5">
        <v>2045</v>
      </c>
      <c r="E25" s="6">
        <v>29.45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25">
      <c r="B26" s="7" t="s">
        <v>7</v>
      </c>
      <c r="C26" s="18" t="s">
        <v>8</v>
      </c>
      <c r="D26" s="7">
        <v>2050</v>
      </c>
      <c r="E26" s="8">
        <v>31.25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25">
      <c r="B28" s="5" t="s">
        <v>7</v>
      </c>
      <c r="C28" s="5" t="s">
        <v>8</v>
      </c>
      <c r="D28" s="5">
        <v>2025</v>
      </c>
      <c r="E28" s="6">
        <f>E21*1.1</f>
        <v>27.533000000000005</v>
      </c>
      <c r="F28" s="5" t="s">
        <v>21</v>
      </c>
      <c r="G28" s="5" t="s">
        <v>20</v>
      </c>
    </row>
    <row r="29" spans="2:7" ht="15.75" customHeight="1" x14ac:dyDescent="0.25">
      <c r="B29" s="7" t="s">
        <v>7</v>
      </c>
      <c r="C29" s="7" t="s">
        <v>8</v>
      </c>
      <c r="D29" s="7">
        <v>2030</v>
      </c>
      <c r="E29" s="8">
        <f t="shared" ref="E29:E33" si="6">E22*1.1</f>
        <v>30.459000000000003</v>
      </c>
      <c r="F29" s="7" t="str">
        <f>F28</f>
        <v>IMP_NAT-GAS</v>
      </c>
      <c r="G29" s="7" t="str">
        <f>G28</f>
        <v>NAT-GAS</v>
      </c>
    </row>
    <row r="30" spans="2:7" ht="15.75" customHeight="1" x14ac:dyDescent="0.25">
      <c r="B30" s="5" t="s">
        <v>7</v>
      </c>
      <c r="C30" s="5" t="s">
        <v>8</v>
      </c>
      <c r="D30" s="5">
        <v>2035</v>
      </c>
      <c r="E30" s="6">
        <f t="shared" si="6"/>
        <v>26.653000000000002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25">
      <c r="B31" s="7" t="s">
        <v>7</v>
      </c>
      <c r="C31" s="7" t="s">
        <v>8</v>
      </c>
      <c r="D31" s="7">
        <v>2040</v>
      </c>
      <c r="E31" s="8">
        <f t="shared" si="6"/>
        <v>29.326000000000004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25">
      <c r="B32" s="5" t="s">
        <v>7</v>
      </c>
      <c r="C32" s="5" t="s">
        <v>8</v>
      </c>
      <c r="D32" s="5">
        <v>2045</v>
      </c>
      <c r="E32" s="6">
        <f t="shared" si="6"/>
        <v>32.395000000000003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25">
      <c r="B33" s="7" t="s">
        <v>7</v>
      </c>
      <c r="C33" s="7" t="s">
        <v>8</v>
      </c>
      <c r="D33" s="7">
        <v>2050</v>
      </c>
      <c r="E33" s="8">
        <f t="shared" si="6"/>
        <v>34.375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25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25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25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25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25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2025-11-18T07:55:17Z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